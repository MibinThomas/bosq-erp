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IBZ\Downloads\"/>
    </mc:Choice>
  </mc:AlternateContent>
  <xr:revisionPtr revIDLastSave="0" documentId="13_ncr:1_{ABB3C4AD-8754-4445-BD45-56DF6E00D563}" xr6:coauthVersionLast="47" xr6:coauthVersionMax="47" xr10:uidLastSave="{00000000-0000-0000-0000-000000000000}"/>
  <bookViews>
    <workbookView xWindow="-120" yWindow="-120" windowWidth="38640" windowHeight="21120" xr2:uid="{00000000-000D-0000-FFFF-FFFF00000000}"/>
  </bookViews>
  <sheets>
    <sheet name="BOQ" sheetId="9" r:id="rId1"/>
  </sheets>
  <externalReferences>
    <externalReference r:id="rId2"/>
  </externalReferences>
  <definedNames>
    <definedName name="ColumnTitle1" localSheetId="0">Quotation3423[[#Headers],[ITEM NO.]]</definedName>
    <definedName name="ColumnTitle1">#REF!</definedName>
    <definedName name="ColumnTitleRegion1..B11.1" localSheetId="0">BOQ!$B$9</definedName>
    <definedName name="ColumnTitleRegion1..B11.1">#REF!</definedName>
    <definedName name="ColumnTitleRegion2..G14.1" localSheetId="0">BOQ!$B$17</definedName>
    <definedName name="ColumnTitleRegion2..G14.1">#REF!</definedName>
    <definedName name="ContactEmail">OFFSET('[1]Company Info'!$G$4,0,0,COUNTA('[1]Company Info'!$G:$G)-3,1)</definedName>
    <definedName name="ContactNames">OFFSET('[1]Company Info'!$E$4,0,0,COUNTA('[1]Company Info'!$E:$E)-1,1)</definedName>
    <definedName name="ContactPhone">OFFSET('[1]Company Info'!$F$4,0,0,COUNTA('[1]Company Info'!$F:$F)-1,1)</definedName>
    <definedName name="Description">OFFSET('[1]Proucts &amp; Services Info'!$D$6,0,0,COUNTA('[1]Proucts &amp; Services Info'!$D:$D)-5,1)</definedName>
    <definedName name="DiscountName" localSheetId="0">OFFSET('[1]Proucts &amp; Services Info'!#REF!,0,0,COUNTA('[1]Proucts &amp; Services Info'!#REF!)-5,1)</definedName>
    <definedName name="DiscountName">OFFSET('[1]Proucts &amp; Services Info'!#REF!,0,0,COUNTA('[1]Proucts &amp; Services Info'!#REF!)-5,1)</definedName>
    <definedName name="DiscountRate">OFFSET('[1]Proucts &amp; Services Info'!$F$6,0,0,COUNTA('[1]Proucts &amp; Services Info'!$F:$F)-2,1)</definedName>
    <definedName name="_xlnm.Print_Area" localSheetId="0">BOQ!$A$1:$J$33</definedName>
    <definedName name="_xlnm.Print_Titles" localSheetId="0">BOQ!$20:$20</definedName>
    <definedName name="ProductNum">OFFSET('[1]Proucts &amp; Services Info'!$B$6,0,0,COUNTA('[1]Proucts &amp; Services Info'!$B:$B)-2,1)</definedName>
    <definedName name="RowTitleRegion1..G4" localSheetId="0">BOQ!$G$5</definedName>
    <definedName name="RowTitleRegion1..G4">#REF!</definedName>
    <definedName name="RowTitleRegion2..G7" localSheetId="0">BOQ!$G$9</definedName>
    <definedName name="RowTitleRegion2..G7">#REF!</definedName>
    <definedName name="RowTitleRegion3..D12" localSheetId="0">BOQ!$B$16</definedName>
    <definedName name="RowTitleRegion3..D12">#REF!</definedName>
    <definedName name="RowTitleRegion4..G26" localSheetId="0">BOQ!#REF!</definedName>
    <definedName name="RowTitleRegion4..G26">#REF!</definedName>
    <definedName name="TermsForDropdown">OFFSET('[1]Company Info'!$I$4,0,0,COUNTA('[1]Company Info'!$I:$I)-1,1)</definedName>
    <definedName name="UnitPrice">OFFSET('[1]Proucts &amp; Services Info'!$C$6,0,0,COUNTA('[1]Proucts &amp; Services Info'!$C:$C)-5,1)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9" l="1"/>
  <c r="I21" i="9"/>
  <c r="I22" i="9"/>
  <c r="I23" i="9" l="1"/>
  <c r="I25" i="9" s="1"/>
  <c r="I27" i="9" s="1"/>
</calcChain>
</file>

<file path=xl/sharedStrings.xml><?xml version="1.0" encoding="utf-8"?>
<sst xmlns="http://schemas.openxmlformats.org/spreadsheetml/2006/main" count="39" uniqueCount="39">
  <si>
    <t xml:space="preserve">AYN MUSK FOR FURNITURE CO. L.L.C </t>
  </si>
  <si>
    <t>Quotation</t>
  </si>
  <si>
    <t xml:space="preserve">OFFICE NO 133, KML Business Centrre, Al Qouz 1 </t>
  </si>
  <si>
    <t>Date :</t>
  </si>
  <si>
    <t xml:space="preserve">Meydan Road , Dubai </t>
  </si>
  <si>
    <t>P3487-1</t>
  </si>
  <si>
    <t>Dubai, PO BOX 294568</t>
  </si>
  <si>
    <t>Customer ID :</t>
  </si>
  <si>
    <t>1347</t>
  </si>
  <si>
    <t xml:space="preserve">Phone: +971 4 529 9697   Mob No: +971 50 427 2128 </t>
  </si>
  <si>
    <t>Quotation For:</t>
  </si>
  <si>
    <t>Quotation valid until:</t>
  </si>
  <si>
    <t>Name</t>
  </si>
  <si>
    <t>Prepared by:</t>
  </si>
  <si>
    <t>Company Name</t>
  </si>
  <si>
    <t>Street Address</t>
  </si>
  <si>
    <t>City, ST  ZIP Code</t>
  </si>
  <si>
    <t>Phone</t>
  </si>
  <si>
    <t>Email</t>
  </si>
  <si>
    <t>Comments or Special Instructions:</t>
  </si>
  <si>
    <t>SALES PERSON</t>
  </si>
  <si>
    <t xml:space="preserve">DELIVERY DATE </t>
  </si>
  <si>
    <t>ITEM NO.</t>
  </si>
  <si>
    <t>DESCRIPTION</t>
  </si>
  <si>
    <t>PICTURE</t>
  </si>
  <si>
    <t>QTY</t>
  </si>
  <si>
    <t>UNIT PRICE</t>
  </si>
  <si>
    <t>AMOUNT</t>
  </si>
  <si>
    <r>
      <rPr>
        <b/>
        <sz val="12"/>
        <color rgb="FF000000"/>
        <rFont val="Arial"/>
      </rPr>
      <t>L SHAPE EXECUTIVE TABLE 2400x750x750mm</t>
    </r>
    <r>
      <rPr>
        <sz val="12"/>
        <color rgb="FF000000"/>
        <rFont val="Arial"/>
      </rPr>
      <t xml:space="preserve">			
"* Side return size: 1200x400x650mm
* Table top: 18mm Thick melamine faced MDF with PVC edge lipping, Provided with a Gromet.
* Modesty Panel (400mm Height): 18mm Thick melamine Faced MDF with PVC edge lipping.                                                    
* Under structure: Loop leg made of 55x55mm x 1.5mm Thick MS tube with Electrostatic powder coated.
* Side storage: Made by using 18mm thick melamine faced MDF with PVC lipping. Provided with 3 lockable drawers and open shelf.
* Hardware: 4"" Pull Handles and Autoclose (Normal) sliding rail.
* Rate without Fabric Partition"
</t>
    </r>
  </si>
  <si>
    <r>
      <rPr>
        <sz val="12"/>
        <color rgb="FF000000"/>
        <rFont val="Arial"/>
      </rPr>
      <t>"</t>
    </r>
    <r>
      <rPr>
        <b/>
        <sz val="12"/>
        <color rgb="FF000000"/>
        <rFont val="Arial"/>
      </rPr>
      <t>Medium height Storage Cabinet 2000x450x800mm</t>
    </r>
    <r>
      <rPr>
        <sz val="12"/>
        <color rgb="FF000000"/>
        <rFont val="Arial"/>
      </rPr>
      <t xml:space="preserve">  (450mm Depth): Made by using 18mm thick Melamine faced MDF with 2/0.6mm PVC edgeband. Providing swing shutters with Soft close hinges, 4"" pull handle and lock.  
"
</t>
    </r>
  </si>
  <si>
    <t>SUBTOTAL (AED)</t>
  </si>
  <si>
    <t xml:space="preserve">DELIVERY AND INSTALLATION </t>
  </si>
  <si>
    <t>VAT (AED)</t>
  </si>
  <si>
    <t>TOTAL (AED)</t>
  </si>
  <si>
    <r>
      <rPr>
        <b/>
        <sz val="14"/>
        <color rgb="FFFF0000"/>
        <rFont val="Arial"/>
        <scheme val="minor"/>
      </rPr>
      <t xml:space="preserve">
Design Approval &amp; Client Responsibility
</t>
    </r>
    <r>
      <rPr>
        <sz val="12"/>
        <color rgb="FFFF0000"/>
        <rFont val="Arial"/>
        <scheme val="minor"/>
      </rPr>
      <t xml:space="preserve">All final design approvals—including but not limited to dimensions, materials, colors, layouts, and product specifications—are the sole responsibility of the client. BOSQ provides detailed quotations and design documentation for client review and confirmation prior to production.
We strongly advise clients to carefully review all details before providing written or signed approval. Once approved, BOSQ will proceed with production based on the confirmed specifications, and any changes or errors identified thereafter may result in additional costs and timeline delays, which will be borne by the client.
BOSQ will not be held liable for discrepancies in dimensions or specifications that were approved by the client.
</t>
    </r>
  </si>
  <si>
    <r>
      <rPr>
        <b/>
        <u/>
        <sz val="11"/>
        <color rgb="FF974706"/>
        <rFont val="Arial"/>
        <scheme val="minor"/>
      </rPr>
      <t xml:space="preserve">
TERMS &amp; CONDITIONS GOVERNING OUR OFFER:
</t>
    </r>
    <r>
      <rPr>
        <sz val="11"/>
        <color rgb="FF000000"/>
        <rFont val="Arial"/>
        <scheme val="minor"/>
      </rPr>
      <t xml:space="preserve">
1. </t>
    </r>
    <r>
      <rPr>
        <sz val="12"/>
        <color rgb="FF000000"/>
        <rFont val="Aptos Display"/>
      </rPr>
      <t xml:space="preserve">Validity: The offer is valid for a period of 10 days from the date of the quotation unless previously withdrawn.
2. The above quote is prepared based on the Furniture selection done by Customer as per the specifications mentioned OR discussed.                                                                                                                                                                                   3.  For the Furniture endorsed with powder coated metals, the cost of any such material would be applicable based on the selection done from the brand Catalogues available with us
4.50% Advance &amp; balance before delivery.		
5. In case material dispatched are not accepted at site due to non-readiness of site,Non-availability of space, then the demurrage charges or additional transport charges shall be borne by the customer.
6. Delivery Lead time for customized orders will vary depending on scope of customization; standard designs would require upto 30-45 days lead time for delivery from the date of order confirmation and Advance payment
7. Transportation, Delivery and Unloading charges would be extra.
8. In the event of any unforeseen price fluctuations in the raw materials cost, the company reserves the right to revise the quoted value after appropriate intimation to customer
9. Once the goods are ready for delivery, further holding upto maximum 3 days only permissible beyond which 1 % of the order value would be collected as warehouse charges per day
10. We are dealing with customized furnitures and hence Material procurement will be done after 50% of advance payment hence No refund/cancellation possible 2days after the advance payment
11. Arrangement of manpower to carry the furniture inside any space would be at customer’s sole responsibility.
However if kept at places with direct sunlight OR transported to locations with dry weather conditions, furniture is prone to develop defects; necessary care to be done by the customer                                                                                                                     
We look forward to receiving your Valuable Purchase Order.Thanking you &amp; assuming of our best attention always
</t>
    </r>
    <r>
      <rPr>
        <sz val="11"/>
        <color rgb="FF000000"/>
        <rFont val="Aptos Display"/>
      </rPr>
      <t xml:space="preserve">
For </t>
    </r>
    <r>
      <rPr>
        <b/>
        <sz val="11"/>
        <color rgb="FF000000"/>
        <rFont val="Aptos Display"/>
      </rPr>
      <t>Ayn Musk For Furniture CO. L.L.C</t>
    </r>
    <r>
      <rPr>
        <sz val="11"/>
        <color rgb="FF000000"/>
        <rFont val="Aptos Display"/>
      </rPr>
      <t xml:space="preserve"> 
Thank you
Ayn Musk For Furniture CO. L.L.C</t>
    </r>
  </si>
  <si>
    <t>UNIT COST</t>
  </si>
  <si>
    <t>MARGIN</t>
  </si>
  <si>
    <t>BOQID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</si>
</sst>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quot;$&quot;* #,##0.00_);_(&quot;$&quot;* \(#,##0.00\);_(&quot;$&quot;* &quot;-&quot;??_);_(@_)"/>
    <numFmt numFmtId="165" formatCode="[&lt;=9999999]###\-####;\(###\)\ ###\-####"/>
    <numFmt numFmtId="166" formatCode="[$-14C09]d\ mmm\ yyyy;@"/>
  </numFmts>
  <fonts count="28" x14ac:knownFonts="1">
    <font>
      <sz val="11"/>
      <name val="Arial"/>
      <family val="2"/>
      <scheme val="minor"/>
    </font>
    <font>
      <sz val="11"/>
      <color theme="1"/>
      <name val="Arial"/>
      <family val="2"/>
      <scheme val="minor"/>
    </font>
    <font>
      <sz val="11"/>
      <color theme="1"/>
      <name val="Arial"/>
      <family val="2"/>
      <scheme val="minor"/>
    </font>
    <font>
      <sz val="28"/>
      <color theme="1" tint="0.499984740745262"/>
      <name val="Arial"/>
      <family val="2"/>
      <scheme val="major"/>
    </font>
    <font>
      <sz val="11"/>
      <name val="Arial"/>
      <family val="2"/>
      <scheme val="minor"/>
    </font>
    <font>
      <b/>
      <sz val="18"/>
      <color theme="1" tint="0.24994659260841701"/>
      <name val="Arial"/>
      <family val="2"/>
      <scheme val="minor"/>
    </font>
    <font>
      <b/>
      <sz val="11"/>
      <name val="Arial"/>
      <family val="2"/>
      <scheme val="minor"/>
    </font>
    <font>
      <i/>
      <sz val="11"/>
      <name val="Arial"/>
      <family val="2"/>
      <scheme val="minor"/>
    </font>
    <font>
      <sz val="10"/>
      <name val="Arial"/>
      <family val="2"/>
    </font>
    <font>
      <sz val="12"/>
      <color theme="1"/>
      <name val="Arial"/>
      <family val="2"/>
      <scheme val="minor"/>
    </font>
    <font>
      <sz val="12"/>
      <name val="Arial"/>
      <family val="2"/>
      <scheme val="minor"/>
    </font>
    <font>
      <sz val="12"/>
      <name val="Arial"/>
      <family val="2"/>
      <scheme val="minor"/>
    </font>
    <font>
      <sz val="12"/>
      <name val="Aptos Display"/>
      <family val="2"/>
    </font>
    <font>
      <b/>
      <sz val="12"/>
      <name val="Aptos Display"/>
      <family val="2"/>
    </font>
    <font>
      <sz val="26"/>
      <color theme="1" tint="0.499984740745262"/>
      <name val="Aptos Display"/>
      <family val="2"/>
    </font>
    <font>
      <i/>
      <sz val="12"/>
      <name val="Aptos Display"/>
      <family val="2"/>
    </font>
    <font>
      <b/>
      <sz val="20"/>
      <color theme="1" tint="0.24994659260841701"/>
      <name val="Aptos Display"/>
      <family val="2"/>
    </font>
    <font>
      <b/>
      <u/>
      <sz val="11"/>
      <color rgb="FF974706"/>
      <name val="Arial"/>
      <scheme val="minor"/>
    </font>
    <font>
      <sz val="11"/>
      <color rgb="FF000000"/>
      <name val="Arial"/>
      <scheme val="minor"/>
    </font>
    <font>
      <sz val="12"/>
      <color rgb="FF000000"/>
      <name val="Aptos Display"/>
    </font>
    <font>
      <sz val="11"/>
      <color rgb="FF000000"/>
      <name val="Aptos Display"/>
    </font>
    <font>
      <b/>
      <sz val="11"/>
      <color rgb="FF000000"/>
      <name val="Aptos Display"/>
    </font>
    <font>
      <b/>
      <sz val="14"/>
      <color rgb="FFFF0000"/>
      <name val="Arial"/>
      <scheme val="minor"/>
    </font>
    <font>
      <sz val="12"/>
      <color rgb="FFFF0000"/>
      <name val="Arial"/>
      <scheme val="minor"/>
    </font>
    <font>
      <sz val="11"/>
      <color rgb="FFFF0000"/>
      <name val="Arial"/>
      <family val="2"/>
      <scheme val="minor"/>
    </font>
    <font>
      <sz val="12"/>
      <color rgb="FF000000"/>
      <name val="Arial"/>
    </font>
    <font>
      <b/>
      <sz val="12"/>
      <color rgb="FF000000"/>
      <name val="Arial"/>
    </font>
    <font>
      <b/>
      <sz val="12"/>
      <color theme="1"/>
      <name val="Arial"/>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s>
  <borders count="16">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left>
      <right/>
      <top/>
      <bottom/>
      <diagonal/>
    </border>
    <border>
      <left style="thin">
        <color theme="0" tint="-0.499984740745262"/>
      </left>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rgb="FFA6A6A6"/>
      </left>
      <right style="thin">
        <color rgb="FFA6A6A6"/>
      </right>
      <top style="thin">
        <color rgb="FFA6A6A6"/>
      </top>
      <bottom style="thin">
        <color rgb="FFA6A6A6"/>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26">
    <xf numFmtId="0" fontId="0" fillId="0" borderId="0">
      <alignment horizontal="left" vertical="center" wrapText="1"/>
    </xf>
    <xf numFmtId="3" fontId="4" fillId="0" borderId="0" applyFont="0" applyFill="0" applyBorder="0">
      <alignment horizontal="center" vertical="center"/>
    </xf>
    <xf numFmtId="164" fontId="8" fillId="0" borderId="0" applyFont="0" applyFill="0" applyBorder="0" applyProtection="0">
      <alignment horizontal="right" vertical="center"/>
    </xf>
    <xf numFmtId="10" fontId="8" fillId="0" borderId="0" applyFont="0" applyFill="0" applyBorder="0" applyProtection="0">
      <alignment horizontal="right" vertical="center"/>
    </xf>
    <xf numFmtId="0" fontId="3" fillId="0" borderId="0">
      <alignment horizontal="right"/>
    </xf>
    <xf numFmtId="0" fontId="5" fillId="0" borderId="0"/>
    <xf numFmtId="0" fontId="7" fillId="0" borderId="0">
      <alignment horizontal="right"/>
    </xf>
    <xf numFmtId="0" fontId="6" fillId="0" borderId="0">
      <alignment vertical="top"/>
    </xf>
    <xf numFmtId="0" fontId="6" fillId="0" borderId="0">
      <alignment horizontal="right" vertical="center"/>
    </xf>
    <xf numFmtId="0" fontId="4" fillId="0" borderId="1">
      <alignment horizontal="center" vertical="center" wrapText="1"/>
    </xf>
    <xf numFmtId="0" fontId="6" fillId="0" borderId="0">
      <alignment horizontal="center" wrapText="1"/>
    </xf>
    <xf numFmtId="0" fontId="7" fillId="0" borderId="0">
      <alignment horizontal="left" vertical="top" wrapText="1"/>
    </xf>
    <xf numFmtId="0" fontId="4" fillId="0" borderId="0">
      <alignment horizontal="right" vertical="center" indent="1"/>
    </xf>
    <xf numFmtId="165" fontId="4" fillId="0" borderId="0" applyFont="0" applyFill="0" applyBorder="0">
      <alignment horizontal="left" vertical="top"/>
    </xf>
    <xf numFmtId="0" fontId="6" fillId="0" borderId="0">
      <alignment horizontal="right"/>
    </xf>
    <xf numFmtId="0" fontId="4" fillId="2" borderId="1">
      <alignment horizontal="center" vertical="center"/>
    </xf>
    <xf numFmtId="49" fontId="4" fillId="0" borderId="0" applyFont="0" applyFill="0" applyBorder="0">
      <alignment horizontal="center" vertical="center" wrapText="1"/>
    </xf>
    <xf numFmtId="0" fontId="4" fillId="0" borderId="2" applyNumberFormat="0" applyFont="0" applyFill="0" applyAlignment="0">
      <alignment horizontal="left" vertical="center" wrapText="1"/>
    </xf>
    <xf numFmtId="14" fontId="4" fillId="0" borderId="0" applyFont="0" applyFill="0" applyBorder="0">
      <alignment horizontal="center" vertical="center"/>
    </xf>
    <xf numFmtId="0" fontId="4" fillId="0" borderId="0">
      <alignment horizontal="left" vertical="center" wrapText="1"/>
    </xf>
    <xf numFmtId="0" fontId="4" fillId="0" borderId="0">
      <alignment horizontal="left" vertical="center" wrapText="1"/>
    </xf>
    <xf numFmtId="14" fontId="4" fillId="0" borderId="0">
      <alignment horizontal="left"/>
    </xf>
    <xf numFmtId="0" fontId="4" fillId="0" borderId="0" applyNumberFormat="0" applyFont="0" applyFill="0" applyBorder="0">
      <alignment horizontal="left" wrapText="1"/>
    </xf>
    <xf numFmtId="0" fontId="2" fillId="0" borderId="0"/>
    <xf numFmtId="0" fontId="9" fillId="0" borderId="0"/>
    <xf numFmtId="0" fontId="11" fillId="0" borderId="0"/>
  </cellStyleXfs>
  <cellXfs count="74">
    <xf numFmtId="0" fontId="0" fillId="0" borderId="0" xfId="0">
      <alignment horizontal="left" vertical="center" wrapText="1"/>
    </xf>
    <xf numFmtId="0" fontId="7" fillId="0" borderId="0" xfId="11">
      <alignment horizontal="left" vertical="top" wrapText="1"/>
    </xf>
    <xf numFmtId="0" fontId="0" fillId="0" borderId="0" xfId="0" applyAlignment="1">
      <alignment vertical="center" wrapText="1"/>
    </xf>
    <xf numFmtId="165" fontId="0" fillId="0" borderId="0" xfId="13" applyFont="1" applyAlignment="1">
      <alignment vertical="top"/>
    </xf>
    <xf numFmtId="2" fontId="0" fillId="0" borderId="0" xfId="0" applyNumberFormat="1">
      <alignment horizontal="left" vertical="center" wrapText="1"/>
    </xf>
    <xf numFmtId="0" fontId="0" fillId="0" borderId="3" xfId="0" applyBorder="1">
      <alignment horizontal="left" vertical="center" wrapText="1"/>
    </xf>
    <xf numFmtId="0" fontId="0" fillId="0" borderId="4" xfId="0" applyBorder="1">
      <alignment horizontal="left" vertical="center" wrapText="1"/>
    </xf>
    <xf numFmtId="0" fontId="0" fillId="0" borderId="5" xfId="0" applyBorder="1">
      <alignment horizontal="left" vertical="center" wrapText="1"/>
    </xf>
    <xf numFmtId="0" fontId="6" fillId="0" borderId="0" xfId="8">
      <alignment horizontal="right" vertical="center"/>
    </xf>
    <xf numFmtId="0" fontId="6" fillId="0" borderId="0" xfId="7">
      <alignment vertical="top"/>
    </xf>
    <xf numFmtId="0" fontId="0" fillId="0" borderId="0" xfId="22" applyFont="1" applyAlignment="1">
      <alignment vertical="center" wrapText="1"/>
    </xf>
    <xf numFmtId="0" fontId="4" fillId="0" borderId="0" xfId="22" applyAlignment="1">
      <alignment vertical="center" wrapText="1"/>
    </xf>
    <xf numFmtId="165" fontId="0" fillId="0" borderId="0" xfId="13" applyFont="1" applyAlignment="1">
      <alignment vertical="center"/>
    </xf>
    <xf numFmtId="2" fontId="0" fillId="0" borderId="10" xfId="0" applyNumberFormat="1" applyBorder="1">
      <alignment horizontal="left" vertical="center" wrapText="1"/>
    </xf>
    <xf numFmtId="0" fontId="0" fillId="0" borderId="10" xfId="0" applyBorder="1">
      <alignment horizontal="left" vertical="center" wrapText="1"/>
    </xf>
    <xf numFmtId="1" fontId="10" fillId="0" borderId="6" xfId="1" applyNumberFormat="1" applyFont="1" applyFill="1" applyBorder="1">
      <alignment horizontal="center" vertical="center"/>
    </xf>
    <xf numFmtId="3" fontId="10" fillId="2" borderId="0" xfId="1" applyFont="1" applyFill="1" applyBorder="1" applyAlignment="1">
      <alignment horizontal="center" vertical="center" wrapText="1"/>
    </xf>
    <xf numFmtId="1" fontId="10" fillId="0" borderId="0" xfId="2" applyNumberFormat="1" applyFont="1" applyFill="1">
      <alignment horizontal="right" vertical="center"/>
    </xf>
    <xf numFmtId="1" fontId="0" fillId="0" borderId="0" xfId="0" applyNumberFormat="1" applyAlignment="1">
      <alignment horizontal="right" vertical="center"/>
    </xf>
    <xf numFmtId="1" fontId="0" fillId="2" borderId="1" xfId="2" applyNumberFormat="1" applyFont="1" applyFill="1" applyBorder="1">
      <alignment horizontal="right" vertical="center"/>
    </xf>
    <xf numFmtId="1" fontId="4" fillId="2" borderId="1" xfId="2" applyNumberFormat="1" applyFont="1" applyFill="1" applyBorder="1">
      <alignment horizontal="right" vertical="center"/>
    </xf>
    <xf numFmtId="0" fontId="1" fillId="0" borderId="0" xfId="0" quotePrefix="1" applyFont="1">
      <alignment horizontal="left" vertical="center" wrapText="1"/>
    </xf>
    <xf numFmtId="0" fontId="4" fillId="0" borderId="0" xfId="19" quotePrefix="1">
      <alignment horizontal="left" vertical="center" wrapText="1"/>
    </xf>
    <xf numFmtId="0" fontId="12" fillId="0" borderId="0" xfId="22" applyFont="1" applyAlignment="1">
      <alignment wrapText="1"/>
    </xf>
    <xf numFmtId="0" fontId="12" fillId="0" borderId="0" xfId="0" applyFont="1" applyAlignment="1">
      <alignment vertical="center" wrapText="1"/>
    </xf>
    <xf numFmtId="0" fontId="12" fillId="0" borderId="0" xfId="0" applyFont="1" applyAlignment="1">
      <alignment vertical="center"/>
    </xf>
    <xf numFmtId="165" fontId="12" fillId="0" borderId="0" xfId="13" applyFont="1" applyAlignment="1">
      <alignment vertical="top"/>
    </xf>
    <xf numFmtId="0" fontId="12" fillId="2" borderId="1" xfId="15" applyFont="1" applyAlignment="1">
      <alignment horizontal="center" vertical="center" wrapText="1"/>
    </xf>
    <xf numFmtId="14" fontId="12" fillId="0" borderId="1" xfId="18" applyFont="1" applyBorder="1">
      <alignment horizontal="center" vertical="center"/>
    </xf>
    <xf numFmtId="0" fontId="12" fillId="2" borderId="11" xfId="15" applyFont="1" applyBorder="1" applyAlignment="1">
      <alignment horizontal="center" vertical="center" wrapText="1"/>
    </xf>
    <xf numFmtId="0" fontId="12" fillId="0" borderId="0" xfId="0" applyFont="1" applyAlignment="1">
      <alignment horizontal="center" vertical="center" wrapText="1"/>
    </xf>
    <xf numFmtId="0" fontId="13" fillId="2" borderId="1" xfId="0" applyFont="1" applyFill="1" applyBorder="1" applyAlignment="1">
      <alignment horizontal="center" vertical="center" wrapText="1"/>
    </xf>
    <xf numFmtId="0" fontId="12" fillId="0" borderId="0" xfId="0" applyFont="1" applyAlignment="1">
      <alignment horizontal="center" vertical="center"/>
    </xf>
    <xf numFmtId="2" fontId="12" fillId="0" borderId="0" xfId="0" applyNumberFormat="1" applyFont="1" applyAlignment="1">
      <alignment horizontal="right" vertical="center" indent="1"/>
    </xf>
    <xf numFmtId="2" fontId="12" fillId="0" borderId="0" xfId="12" applyNumberFormat="1" applyFont="1">
      <alignment horizontal="right" vertical="center" indent="1"/>
    </xf>
    <xf numFmtId="2" fontId="12" fillId="0" borderId="10" xfId="12" applyNumberFormat="1" applyFont="1" applyBorder="1">
      <alignment horizontal="right" vertical="center" indent="1"/>
    </xf>
    <xf numFmtId="0" fontId="0" fillId="0" borderId="0" xfId="0" applyAlignment="1">
      <alignment horizontal="right" wrapText="1"/>
    </xf>
    <xf numFmtId="0" fontId="13" fillId="0" borderId="0" xfId="7" applyFont="1">
      <alignment vertical="top"/>
    </xf>
    <xf numFmtId="0" fontId="15" fillId="0" borderId="0" xfId="6" applyFont="1">
      <alignment horizontal="right"/>
    </xf>
    <xf numFmtId="0" fontId="12" fillId="0" borderId="0" xfId="0" applyFont="1">
      <alignment horizontal="left" vertical="center" wrapText="1"/>
    </xf>
    <xf numFmtId="2" fontId="0" fillId="2" borderId="1" xfId="2" applyNumberFormat="1" applyFont="1" applyFill="1" applyBorder="1">
      <alignment horizontal="right" vertical="center"/>
    </xf>
    <xf numFmtId="1" fontId="4" fillId="2" borderId="0" xfId="2" applyNumberFormat="1" applyFont="1" applyFill="1" applyBorder="1">
      <alignment horizontal="right" vertical="center"/>
    </xf>
    <xf numFmtId="0" fontId="25" fillId="0" borderId="12" xfId="0" applyFont="1" applyBorder="1">
      <alignment horizontal="left" vertical="center" wrapText="1"/>
    </xf>
    <xf numFmtId="0" fontId="16" fillId="0" borderId="0" xfId="5" applyFont="1"/>
    <xf numFmtId="0" fontId="12" fillId="0" borderId="0" xfId="11" applyFont="1">
      <alignment horizontal="left" vertical="top" wrapText="1"/>
    </xf>
    <xf numFmtId="165" fontId="12" fillId="0" borderId="0" xfId="13" applyFont="1">
      <alignment horizontal="left" vertical="top"/>
    </xf>
    <xf numFmtId="0" fontId="12" fillId="2" borderId="7" xfId="15" applyFont="1" applyBorder="1">
      <alignment horizontal="center" vertical="center"/>
    </xf>
    <xf numFmtId="0" fontId="12" fillId="2" borderId="8" xfId="15" applyFont="1" applyBorder="1">
      <alignment horizontal="center" vertical="center"/>
    </xf>
    <xf numFmtId="0" fontId="12" fillId="2" borderId="9" xfId="15" applyFont="1" applyBorder="1">
      <alignment horizontal="center" vertical="center"/>
    </xf>
    <xf numFmtId="0" fontId="12" fillId="0" borderId="7" xfId="9" applyFont="1" applyBorder="1">
      <alignment horizontal="center" vertical="center" wrapText="1"/>
    </xf>
    <xf numFmtId="0" fontId="12" fillId="0" borderId="8" xfId="9" applyFont="1" applyBorder="1">
      <alignment horizontal="center" vertical="center" wrapText="1"/>
    </xf>
    <xf numFmtId="0" fontId="12" fillId="0" borderId="9" xfId="9" applyFont="1" applyBorder="1">
      <alignment horizontal="center" vertical="center" wrapText="1"/>
    </xf>
    <xf numFmtId="0" fontId="0" fillId="0" borderId="0" xfId="0" applyAlignment="1">
      <alignment horizontal="left" vertical="top" wrapText="1"/>
    </xf>
    <xf numFmtId="0" fontId="22" fillId="3" borderId="13" xfId="0" applyFont="1" applyFill="1" applyBorder="1" applyAlignment="1">
      <alignment horizontal="left" vertical="top" wrapText="1"/>
    </xf>
    <xf numFmtId="0" fontId="24" fillId="3" borderId="14" xfId="0" applyFont="1" applyFill="1" applyBorder="1" applyAlignment="1">
      <alignment horizontal="left" vertical="top" wrapText="1"/>
    </xf>
    <xf numFmtId="0" fontId="24" fillId="3" borderId="15" xfId="0" applyFont="1" applyFill="1" applyBorder="1" applyAlignment="1">
      <alignment horizontal="left" vertical="top" wrapText="1"/>
    </xf>
    <xf numFmtId="165" fontId="12" fillId="0" borderId="0" xfId="13" applyFont="1">
      <alignment horizontal="left" vertical="top"/>
    </xf>
    <xf numFmtId="0" fontId="6" fillId="0" borderId="0" xfId="22" applyFont="1" applyAlignment="1">
      <alignment horizontal="left" vertical="center" wrapText="1"/>
    </xf>
    <xf numFmtId="0" fontId="0" fillId="0" borderId="0" xfId="0" quotePrefix="1">
      <alignment horizontal="left" vertical="center" wrapText="1"/>
    </xf>
    <xf numFmtId="0" fontId="6" fillId="0" borderId="0" xfId="0" applyFont="1">
      <alignment horizontal="left" vertical="center" wrapText="1"/>
    </xf>
    <xf numFmtId="0" fontId="6" fillId="0" borderId="0" xfId="7">
      <alignment vertical="top"/>
    </xf>
    <xf numFmtId="0" fontId="7" fillId="0" borderId="0" xfId="11">
      <alignment horizontal="left" vertical="top" wrapText="1"/>
    </xf>
    <xf numFmtId="0" fontId="12" fillId="0" borderId="0" xfId="0" applyFont="1">
      <alignment horizontal="left" vertical="center" wrapText="1"/>
    </xf>
    <xf numFmtId="0" fontId="3" fillId="0" borderId="0" xfId="4">
      <alignment horizontal="right"/>
    </xf>
    <xf numFmtId="0" fontId="16" fillId="0" borderId="0" xfId="5" applyFont="1"/>
    <xf numFmtId="0" fontId="12" fillId="0" borderId="0" xfId="11" applyFont="1">
      <alignment horizontal="left" vertical="top" wrapText="1"/>
    </xf>
    <xf numFmtId="0" fontId="13" fillId="2" borderId="0" xfId="0" applyFont="1" applyFill="1" applyBorder="1" applyAlignment="1">
      <alignment horizontal="center" vertical="center" wrapText="1"/>
    </xf>
    <xf numFmtId="1" fontId="10" fillId="0" borderId="0" xfId="1" applyNumberFormat="1" applyFont="1" applyFill="1" applyBorder="1">
      <alignment horizontal="center" vertical="center"/>
    </xf>
    <xf numFmtId="0" fontId="14" fillId="0" borderId="0" xfId="4" applyFont="1" applyAlignment="1">
      <alignment horizontal="center" vertical="center"/>
    </xf>
    <xf numFmtId="166" fontId="6" fillId="0" borderId="0" xfId="21" applyNumberFormat="1" applyFont="1" applyAlignment="1">
      <alignment horizontal="left"/>
    </xf>
    <xf numFmtId="0" fontId="27" fillId="0" borderId="0" xfId="0" applyFont="1" applyAlignment="1">
      <alignment horizontal="left" vertical="center" wrapText="1"/>
    </xf>
    <xf numFmtId="49" fontId="6" fillId="0" borderId="0" xfId="0" quotePrefix="1" applyNumberFormat="1" applyFont="1" applyAlignment="1">
      <alignment horizontal="left" vertical="center" wrapText="1"/>
    </xf>
    <xf numFmtId="0" fontId="6" fillId="0" borderId="0" xfId="0" applyFont="1" applyAlignment="1">
      <alignment horizontal="left" vertical="center" wrapText="1"/>
    </xf>
    <xf numFmtId="0" fontId="13" fillId="0" borderId="0" xfId="22" applyFont="1" applyAlignment="1">
      <alignment horizontal="left" wrapText="1"/>
    </xf>
  </cellXfs>
  <cellStyles count="26">
    <cellStyle name="Comma" xfId="1" builtinId="3" customBuiltin="1"/>
    <cellStyle name="Currency" xfId="2" builtinId="4" customBuiltin="1"/>
    <cellStyle name="Custom Field" xfId="17" xr:uid="{00000000-0005-0000-0000-000002000000}"/>
    <cellStyle name="Date" xfId="21" xr:uid="{00000000-0005-0000-0000-000003000000}"/>
    <cellStyle name="Date label" xfId="14" xr:uid="{00000000-0005-0000-0000-000004000000}"/>
    <cellStyle name="Explanatory Text" xfId="11" builtinId="53" customBuiltin="1"/>
    <cellStyle name="Followed Hyperlink" xfId="20" builtinId="9" customBuiltin="1"/>
    <cellStyle name="Heading 1" xfId="5" builtinId="16" customBuiltin="1"/>
    <cellStyle name="Heading 2" xfId="6" builtinId="17" customBuiltin="1"/>
    <cellStyle name="Heading 3" xfId="7" builtinId="18" customBuiltin="1"/>
    <cellStyle name="Heading 4" xfId="8" builtinId="19" customBuiltin="1"/>
    <cellStyle name="Hyperlink" xfId="19" builtinId="8" customBuiltin="1"/>
    <cellStyle name="Input" xfId="9" builtinId="20" customBuiltin="1"/>
    <cellStyle name="Name" xfId="22" xr:uid="{00000000-0005-0000-0000-00000D000000}"/>
    <cellStyle name="Normal" xfId="0" builtinId="0" customBuiltin="1"/>
    <cellStyle name="Normal 2" xfId="23" xr:uid="{00000000-0005-0000-0000-00000F000000}"/>
    <cellStyle name="Normal 3" xfId="24" xr:uid="{00000000-0005-0000-0000-000010000000}"/>
    <cellStyle name="Normal 4" xfId="25" xr:uid="{00000000-0005-0000-0000-000011000000}"/>
    <cellStyle name="Note" xfId="10" builtinId="10" customBuiltin="1"/>
    <cellStyle name="Percent" xfId="3" builtinId="5" customBuiltin="1"/>
    <cellStyle name="Phone" xfId="13" xr:uid="{00000000-0005-0000-0000-000014000000}"/>
    <cellStyle name="Shipping Date" xfId="18" xr:uid="{00000000-0005-0000-0000-000015000000}"/>
    <cellStyle name="Shipping Details" xfId="15" xr:uid="{00000000-0005-0000-0000-000016000000}"/>
    <cellStyle name="Taxable?" xfId="16" xr:uid="{00000000-0005-0000-0000-000017000000}"/>
    <cellStyle name="Title" xfId="4" builtinId="15" customBuiltin="1"/>
    <cellStyle name="Total" xfId="12" builtinId="25" customBuiltin="1"/>
  </cellStyles>
  <dxfs count="21">
    <dxf>
      <numFmt numFmtId="1" formatCode="0"/>
      <alignment horizontal="right" vertical="center" textRotation="0" wrapText="0" indent="0" justifyLastLine="0" shrinkToFit="0" readingOrder="0"/>
    </dxf>
    <dxf>
      <font>
        <b val="0"/>
        <i val="0"/>
        <strike val="0"/>
        <condense val="0"/>
        <extend val="0"/>
        <outline val="0"/>
        <shadow val="0"/>
        <u val="none"/>
        <vertAlign val="baseline"/>
        <sz val="12"/>
        <color auto="1"/>
        <name val="Aptos Display"/>
        <family val="2"/>
        <scheme val="none"/>
      </font>
      <numFmt numFmtId="2" formatCode="0.00"/>
      <alignment horizontal="right" vertical="center" textRotation="0" wrapText="0" indent="1" justifyLastLine="0" shrinkToFit="0" readingOrder="0"/>
    </dxf>
    <dxf>
      <font>
        <b val="0"/>
        <i val="0"/>
        <strike val="0"/>
        <condense val="0"/>
        <extend val="0"/>
        <outline val="0"/>
        <shadow val="0"/>
        <u val="none"/>
        <vertAlign val="baseline"/>
        <sz val="12"/>
        <color auto="1"/>
        <name val="Aptos Display"/>
        <family val="2"/>
        <scheme val="none"/>
      </font>
      <numFmt numFmtId="2" formatCode="0.00"/>
      <alignment horizontal="right" vertical="center" textRotation="0" wrapText="0" indent="1" justifyLastLine="0" shrinkToFit="0" readingOrder="0"/>
    </dxf>
    <dxf>
      <numFmt numFmtId="2" formatCode="0.00"/>
    </dxf>
    <dxf>
      <numFmt numFmtId="2" formatCode="0.00"/>
    </dxf>
    <dxf>
      <border diagonalUp="0" diagonalDown="0" outline="0">
        <left style="thin">
          <color theme="0" tint="-0.499984740745262"/>
        </left>
        <right/>
        <top/>
        <bottom/>
      </border>
    </dxf>
    <dxf>
      <font>
        <b val="0"/>
        <i val="0"/>
        <strike val="0"/>
        <condense val="0"/>
        <extend val="0"/>
        <outline val="0"/>
        <shadow val="0"/>
        <u val="none"/>
        <vertAlign val="baseline"/>
        <sz val="12"/>
        <color auto="1"/>
        <name val="Arial"/>
        <family val="2"/>
        <scheme val="minor"/>
      </font>
      <numFmt numFmtId="1" formatCode="0"/>
      <fill>
        <patternFill patternType="none">
          <fgColor indexed="64"/>
          <bgColor indexed="65"/>
        </patternFill>
      </fill>
    </dxf>
    <dxf>
      <font>
        <b val="0"/>
        <i val="0"/>
        <strike val="0"/>
        <condense val="0"/>
        <extend val="0"/>
        <outline val="0"/>
        <shadow val="0"/>
        <u val="none"/>
        <vertAlign val="baseline"/>
        <sz val="12"/>
        <color auto="1"/>
        <name val="Arial"/>
        <family val="2"/>
        <scheme val="minor"/>
      </font>
      <numFmt numFmtId="1" formatCode="0"/>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2"/>
        <color auto="1"/>
        <name val="Arial"/>
        <family val="2"/>
        <scheme val="minor"/>
      </font>
      <numFmt numFmtId="1" formatCode="0"/>
      <fill>
        <patternFill patternType="none">
          <fgColor indexed="64"/>
          <bgColor indexed="65"/>
        </patternFill>
      </fill>
    </dxf>
    <dxf>
      <font>
        <strike val="0"/>
        <outline val="0"/>
        <shadow val="0"/>
        <u val="none"/>
        <vertAlign val="baseline"/>
        <sz val="12"/>
      </font>
      <numFmt numFmtId="1" formatCode="0"/>
      <fill>
        <patternFill patternType="none">
          <fgColor indexed="64"/>
          <bgColor indexed="65"/>
        </patternFill>
      </fill>
    </dxf>
    <dxf>
      <font>
        <b val="0"/>
        <i val="0"/>
        <strike val="0"/>
        <condense val="0"/>
        <extend val="0"/>
        <outline val="0"/>
        <shadow val="0"/>
        <u val="none"/>
        <vertAlign val="baseline"/>
        <sz val="12"/>
        <color auto="1"/>
        <name val="Arial"/>
        <scheme val="minor"/>
      </font>
      <numFmt numFmtId="1" formatCode="0"/>
      <fill>
        <patternFill patternType="none">
          <fgColor indexed="64"/>
          <bgColor indexed="65"/>
        </patternFill>
      </fill>
    </dxf>
    <dxf>
      <font>
        <b val="0"/>
        <i val="0"/>
        <strike val="0"/>
        <condense val="0"/>
        <extend val="0"/>
        <outline val="0"/>
        <shadow val="0"/>
        <u val="none"/>
        <vertAlign val="baseline"/>
        <sz val="12"/>
        <color auto="1"/>
        <name val="Arial"/>
        <scheme val="minor"/>
      </font>
      <numFmt numFmtId="3" formatCode="#,##0"/>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style="thin">
          <color theme="0" tint="-0.34998626667073579"/>
        </bottom>
      </border>
    </dxf>
    <dxf>
      <font>
        <strike val="0"/>
        <outline val="0"/>
        <shadow val="0"/>
        <u val="none"/>
        <vertAlign val="baseline"/>
        <sz val="12"/>
      </font>
      <numFmt numFmtId="0" formatCode="General"/>
      <alignment horizontal="left" vertical="center" textRotation="0" wrapText="1" indent="0" justifyLastLine="0" shrinkToFit="0" readingOrder="0"/>
    </dxf>
    <dxf>
      <font>
        <strike val="0"/>
        <outline val="0"/>
        <shadow val="0"/>
        <u val="none"/>
        <vertAlign val="baseline"/>
        <sz val="12"/>
      </font>
      <alignment horizontal="center" vertical="center" textRotation="0" wrapText="1" indent="0" justifyLastLine="0" shrinkToFit="0" readingOrder="0"/>
    </dxf>
    <dxf>
      <border>
        <bottom style="thin">
          <color rgb="FF808080"/>
        </bottom>
      </border>
    </dxf>
    <dxf>
      <font>
        <strike val="0"/>
        <outline val="0"/>
        <shadow val="0"/>
        <u val="none"/>
        <vertAlign val="baseline"/>
        <sz val="12"/>
        <name val="Aptos Display"/>
      </font>
      <alignment horizontal="center" vertical="center" textRotation="0" indent="0" justifyLastLine="0" shrinkToFit="0" readingOrder="0"/>
      <border diagonalUp="0" diagonalDown="0">
        <left style="thin">
          <color indexed="64"/>
        </left>
        <right style="thin">
          <color indexed="64"/>
        </right>
        <top/>
        <bottom/>
        <vertical style="thin">
          <color indexed="64"/>
        </vertical>
        <horizontal/>
      </border>
    </dxf>
    <dxf>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border>
    </dxf>
    <dxf>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border>
    </dxf>
    <dxf>
      <border diagonalUp="0" diagonalDown="0">
        <left/>
        <right/>
        <top style="thin">
          <color theme="0" tint="-0.34998626667073579"/>
        </top>
        <bottom/>
        <vertical/>
        <horizontal/>
      </border>
    </dxf>
    <dxf>
      <font>
        <b/>
        <i val="0"/>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border>
    </dxf>
    <dxf>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s>
  <tableStyles count="1" defaultTableStyle="Price quote with tax calculation" defaultPivotStyle="PivotStyleLight16">
    <tableStyle name="Price quote with tax calculation" pivot="0" count="5" xr9:uid="{00000000-0011-0000-FFFF-FFFF00000000}">
      <tableStyleElement type="wholeTable" dxfId="20"/>
      <tableStyleElement type="headerRow" dxfId="19"/>
      <tableStyleElement type="totalRow" dxfId="18"/>
      <tableStyleElement type="lastColumn" dxfId="17"/>
      <tableStyleElement type="lastTotalCell" dxfId="16"/>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D8E4E8"/>
      <rgbColor rgb="0099CCFF"/>
      <rgbColor rgb="00EAEAEA"/>
      <rgbColor rgb="00CC99FF"/>
      <rgbColor rgb="00F1F2D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4</xdr:col>
      <xdr:colOff>443495</xdr:colOff>
      <xdr:row>0</xdr:row>
      <xdr:rowOff>217989</xdr:rowOff>
    </xdr:from>
    <xdr:to>
      <xdr:col>7</xdr:col>
      <xdr:colOff>808819</xdr:colOff>
      <xdr:row>2</xdr:row>
      <xdr:rowOff>113409</xdr:rowOff>
    </xdr:to>
    <xdr:pic>
      <xdr:nvPicPr>
        <xdr:cNvPr id="2" name="Picture 1">
          <a:extLst>
            <a:ext uri="{FF2B5EF4-FFF2-40B4-BE49-F238E27FC236}">
              <a16:creationId xmlns:a16="http://schemas.microsoft.com/office/drawing/2014/main" id="{6ACA8D7A-F6A2-4190-B42E-36E26550E77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7845" y="217989"/>
          <a:ext cx="3241874" cy="666945"/>
        </a:xfrm>
        <a:prstGeom prst="rect">
          <a:avLst/>
        </a:prstGeom>
      </xdr:spPr>
    </xdr:pic>
    <xdr:clientData/>
  </xdr:twoCellAnchor>
  <xdr:twoCellAnchor editAs="oneCell">
    <xdr:from>
      <xdr:col>1</xdr:col>
      <xdr:colOff>44116</xdr:colOff>
      <xdr:row>0</xdr:row>
      <xdr:rowOff>37671</xdr:rowOff>
    </xdr:from>
    <xdr:to>
      <xdr:col>2</xdr:col>
      <xdr:colOff>1273342</xdr:colOff>
      <xdr:row>3</xdr:row>
      <xdr:rowOff>2800</xdr:rowOff>
    </xdr:to>
    <xdr:pic>
      <xdr:nvPicPr>
        <xdr:cNvPr id="3" name="Picture 2">
          <a:extLst>
            <a:ext uri="{FF2B5EF4-FFF2-40B4-BE49-F238E27FC236}">
              <a16:creationId xmlns:a16="http://schemas.microsoft.com/office/drawing/2014/main" id="{1805D85D-D1CE-434B-8693-1B9E131FC539}"/>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5858" t="35034" r="26838" b="36624"/>
        <a:stretch/>
      </xdr:blipFill>
      <xdr:spPr>
        <a:xfrm>
          <a:off x="242236" y="37671"/>
          <a:ext cx="2494146" cy="929136"/>
        </a:xfrm>
        <a:prstGeom prst="rect">
          <a:avLst/>
        </a:prstGeom>
      </xdr:spPr>
    </xdr:pic>
    <xdr:clientData/>
  </xdr:twoCellAnchor>
  <xdr:twoCellAnchor editAs="oneCell">
    <xdr:from>
      <xdr:col>3</xdr:col>
      <xdr:colOff>95250</xdr:colOff>
      <xdr:row>20</xdr:row>
      <xdr:rowOff>514350</xdr:rowOff>
    </xdr:from>
    <xdr:to>
      <xdr:col>3</xdr:col>
      <xdr:colOff>3019425</xdr:colOff>
      <xdr:row>20</xdr:row>
      <xdr:rowOff>2771775</xdr:rowOff>
    </xdr:to>
    <xdr:pic>
      <xdr:nvPicPr>
        <xdr:cNvPr id="6" name="Picture 5">
          <a:extLst>
            <a:ext uri="{FF2B5EF4-FFF2-40B4-BE49-F238E27FC236}">
              <a16:creationId xmlns:a16="http://schemas.microsoft.com/office/drawing/2014/main" id="{6E40EE93-5E4F-4307-9471-6610130C9203}"/>
            </a:ext>
            <a:ext uri="{147F2762-F138-4A5C-976F-8EAC2B608ADB}">
              <a16:predDERef xmlns:a16="http://schemas.microsoft.com/office/drawing/2014/main" pred="{21F9A104-0DB0-4720-BD2B-D27087FA73E8}"/>
            </a:ext>
          </a:extLst>
        </xdr:cNvPr>
        <xdr:cNvPicPr>
          <a:picLocks noChangeAspect="1"/>
        </xdr:cNvPicPr>
      </xdr:nvPicPr>
      <xdr:blipFill>
        <a:blip xmlns:r="http://schemas.openxmlformats.org/officeDocument/2006/relationships" r:embed="rId3"/>
        <a:stretch>
          <a:fillRect/>
        </a:stretch>
      </xdr:blipFill>
      <xdr:spPr>
        <a:xfrm>
          <a:off x="5086350" y="6115050"/>
          <a:ext cx="2924175" cy="2257425"/>
        </a:xfrm>
        <a:prstGeom prst="rect">
          <a:avLst/>
        </a:prstGeom>
      </xdr:spPr>
    </xdr:pic>
    <xdr:clientData/>
  </xdr:twoCellAnchor>
  <xdr:twoCellAnchor editAs="oneCell">
    <xdr:from>
      <xdr:col>3</xdr:col>
      <xdr:colOff>257175</xdr:colOff>
      <xdr:row>21</xdr:row>
      <xdr:rowOff>314325</xdr:rowOff>
    </xdr:from>
    <xdr:to>
      <xdr:col>3</xdr:col>
      <xdr:colOff>2876550</xdr:colOff>
      <xdr:row>21</xdr:row>
      <xdr:rowOff>2781300</xdr:rowOff>
    </xdr:to>
    <xdr:pic>
      <xdr:nvPicPr>
        <xdr:cNvPr id="7" name="Picture 6">
          <a:extLst>
            <a:ext uri="{FF2B5EF4-FFF2-40B4-BE49-F238E27FC236}">
              <a16:creationId xmlns:a16="http://schemas.microsoft.com/office/drawing/2014/main" id="{851BF3C8-8460-4C1B-8CEE-23A4F9FFC8BE}"/>
            </a:ext>
            <a:ext uri="{147F2762-F138-4A5C-976F-8EAC2B608ADB}">
              <a16:predDERef xmlns:a16="http://schemas.microsoft.com/office/drawing/2014/main" pred="{6E40EE93-5E4F-4307-9471-6610130C9203}"/>
            </a:ext>
          </a:extLst>
        </xdr:cNvPr>
        <xdr:cNvPicPr>
          <a:picLocks noChangeAspect="1"/>
        </xdr:cNvPicPr>
      </xdr:nvPicPr>
      <xdr:blipFill>
        <a:blip xmlns:r="http://schemas.openxmlformats.org/officeDocument/2006/relationships" r:embed="rId4"/>
        <a:stretch>
          <a:fillRect/>
        </a:stretch>
      </xdr:blipFill>
      <xdr:spPr>
        <a:xfrm>
          <a:off x="5248275" y="9267825"/>
          <a:ext cx="2619375" cy="24669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colto/Dropbox/Spreadsheet%20Tempaltes/For%20Lead%20Download/Invoice%20Template%20v1.3.xlsx" TargetMode="External"/><Relationship Id="rId1" Type="http://schemas.openxmlformats.org/officeDocument/2006/relationships/externalLinkPath" Target="/Users/colto/Dropbox/Spreadsheet%20Tempaltes/For%20Lead%20Download/Invoice%20Template%20v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troduction"/>
      <sheetName val="Company Info"/>
      <sheetName val="Proucts &amp; Services Info"/>
      <sheetName val="Invoice"/>
      <sheetName val="License Info"/>
    </sheetNames>
    <sheetDataSet>
      <sheetData sheetId="0"/>
      <sheetData sheetId="1"/>
      <sheetData sheetId="2"/>
      <sheetData sheetId="3"/>
      <sheetData sheetId="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BC3EF0-6869-48ED-B299-073EFF93A761}" name="Quotation3423" displayName="Quotation3423" ref="B20:I23" totalsRowCount="1" headerRowDxfId="15" headerRowBorderDxfId="14">
  <tableColumns count="8">
    <tableColumn id="1" xr3:uid="{425BDB30-7D09-4F3E-841D-657852687171}" name="ITEM NO." dataDxfId="13" totalsRowDxfId="5" dataCellStyle="Comma"/>
    <tableColumn id="2" xr3:uid="{ABA4677B-3589-45D7-B537-029097F555C1}" name="DESCRIPTION" dataDxfId="12" dataCellStyle="Normal"/>
    <tableColumn id="3" xr3:uid="{35F38226-D87F-438A-84D3-7F2734133865}" name="PICTURE" dataDxfId="11" dataCellStyle="Comma"/>
    <tableColumn id="7" xr3:uid="{23980475-0023-49A5-A9CE-3D6E013D9F69}" name="UNIT COST" dataDxfId="8" totalsRowDxfId="4" dataCellStyle="Comma"/>
    <tableColumn id="9" xr3:uid="{40D8F200-3503-4C49-A872-D2657EFB7F53}" name="MARGIN" dataDxfId="6" totalsRowDxfId="3" dataCellStyle="Comma"/>
    <tableColumn id="5" xr3:uid="{604B0401-1556-41E7-A139-161F90D2C358}" name="UNIT PRICE" totalsRowLabel="SUBTOTAL (AED)" dataDxfId="10" totalsRowDxfId="2" dataCellStyle="Currency">
      <calculatedColumnFormula>30+(30*46%)</calculatedColumnFormula>
    </tableColumn>
    <tableColumn id="8" xr3:uid="{A39514F1-44CC-4FB9-B0F8-4E43225247A9}" name="QTY" dataDxfId="7" totalsRowDxfId="1" dataCellStyle="Comma"/>
    <tableColumn id="6" xr3:uid="{F2CF7472-4537-4AB8-A3D3-9036D14893CE}" name="AMOUNT" totalsRowFunction="custom" dataDxfId="9" totalsRowDxfId="0" dataCellStyle="Currency">
      <calculatedColumnFormula>IFERROR(IF(#REF!,#REF!*G21,""), "")</calculatedColumnFormula>
      <totalsRowFormula>SUM(Quotation3423[AMOUNT])</totalsRowFormula>
    </tableColumn>
  </tableColumns>
  <tableStyleInfo name="Price quote with tax calculation" showFirstColumn="0" showLastColumn="1" showRowStripes="1" showColumnStripes="0"/>
  <extLst>
    <ext xmlns:x14="http://schemas.microsoft.com/office/spreadsheetml/2009/9/main" uri="{504A1905-F514-4f6f-8877-14C23A59335A}">
      <x14:table altTextSummary="Enter Quantity, Description, Unit Price, and Taxable status in this table. Subtotal is automatically calculated"/>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4CC00-15F5-4A00-BD88-F2C3A10466D1}">
  <sheetPr>
    <tabColor theme="4" tint="0.59999389629810485"/>
    <pageSetUpPr fitToPage="1"/>
  </sheetPr>
  <dimension ref="A2:J30"/>
  <sheetViews>
    <sheetView showGridLines="0" tabSelected="1" view="pageBreakPreview" zoomScaleNormal="100" zoomScaleSheetLayoutView="100" workbookViewId="0">
      <selection activeCell="M8" sqref="M8"/>
    </sheetView>
  </sheetViews>
  <sheetFormatPr defaultColWidth="9" defaultRowHeight="30" customHeight="1" x14ac:dyDescent="0.2"/>
  <cols>
    <col min="1" max="1" width="2.625" customWidth="1"/>
    <col min="2" max="2" width="16.625" customWidth="1"/>
    <col min="3" max="3" width="46.25" customWidth="1"/>
    <col min="4" max="4" width="41.25" customWidth="1"/>
    <col min="5" max="6" width="13.125" customWidth="1"/>
    <col min="7" max="8" width="11.5" customWidth="1"/>
    <col min="9" max="9" width="19.125" customWidth="1"/>
    <col min="10" max="10" width="2.625" customWidth="1"/>
  </cols>
  <sheetData>
    <row r="2" spans="1:10" ht="30.95" customHeight="1" x14ac:dyDescent="0.45">
      <c r="I2" s="63"/>
      <c r="J2" s="63"/>
    </row>
    <row r="3" spans="1:10" ht="15.95" customHeight="1" x14ac:dyDescent="0.2">
      <c r="C3" s="36"/>
    </row>
    <row r="4" spans="1:10" ht="28.5" customHeight="1" x14ac:dyDescent="0.4">
      <c r="A4" s="1"/>
      <c r="B4" s="64" t="s">
        <v>0</v>
      </c>
      <c r="C4" s="64"/>
      <c r="D4" s="64"/>
      <c r="E4" s="43"/>
      <c r="F4" s="43"/>
      <c r="G4" s="68" t="s">
        <v>1</v>
      </c>
      <c r="H4" s="68"/>
      <c r="I4" s="68"/>
      <c r="J4" s="68"/>
    </row>
    <row r="5" spans="1:10" ht="15" customHeight="1" x14ac:dyDescent="0.25">
      <c r="B5" s="65" t="s">
        <v>2</v>
      </c>
      <c r="C5" s="65"/>
      <c r="D5" s="65"/>
      <c r="E5" s="44"/>
      <c r="F5" s="44"/>
      <c r="G5" s="8" t="s">
        <v>3</v>
      </c>
      <c r="H5" s="69">
        <v>46167</v>
      </c>
      <c r="I5" s="69"/>
    </row>
    <row r="6" spans="1:10" ht="15" customHeight="1" x14ac:dyDescent="0.2">
      <c r="B6" s="62" t="s">
        <v>4</v>
      </c>
      <c r="C6" s="62"/>
      <c r="D6" s="62"/>
      <c r="E6" s="39"/>
      <c r="F6" s="39"/>
      <c r="G6" s="8" t="s">
        <v>38</v>
      </c>
      <c r="H6" s="70" t="s">
        <v>5</v>
      </c>
      <c r="I6" s="70"/>
    </row>
    <row r="7" spans="1:10" ht="15" customHeight="1" x14ac:dyDescent="0.2">
      <c r="B7" s="62" t="s">
        <v>6</v>
      </c>
      <c r="C7" s="62"/>
      <c r="D7" s="62"/>
      <c r="E7" s="24"/>
      <c r="F7" s="24"/>
      <c r="G7" s="8" t="s">
        <v>7</v>
      </c>
      <c r="H7" s="71" t="s">
        <v>8</v>
      </c>
      <c r="I7" s="71"/>
    </row>
    <row r="8" spans="1:10" ht="22.5" customHeight="1" x14ac:dyDescent="0.2">
      <c r="B8" s="56" t="s">
        <v>9</v>
      </c>
      <c r="C8" s="56"/>
      <c r="D8" s="56"/>
      <c r="E8" s="45"/>
      <c r="F8" s="45"/>
      <c r="H8" s="72"/>
      <c r="I8" s="72"/>
    </row>
    <row r="9" spans="1:10" ht="15" customHeight="1" x14ac:dyDescent="0.25">
      <c r="B9" s="9" t="s">
        <v>10</v>
      </c>
      <c r="C9" s="57"/>
      <c r="D9" s="57"/>
      <c r="E9" s="37"/>
      <c r="F9" s="37"/>
      <c r="G9" s="38" t="s">
        <v>11</v>
      </c>
      <c r="H9" s="69">
        <f>H5+10</f>
        <v>46177</v>
      </c>
      <c r="I9" s="69"/>
    </row>
    <row r="10" spans="1:10" ht="28.5" customHeight="1" x14ac:dyDescent="0.25">
      <c r="B10" s="23" t="s">
        <v>12</v>
      </c>
      <c r="C10" s="10"/>
      <c r="D10" s="11"/>
      <c r="E10" s="23"/>
      <c r="F10" s="23"/>
      <c r="G10" s="38" t="s">
        <v>13</v>
      </c>
      <c r="H10" s="73"/>
      <c r="I10" s="73"/>
    </row>
    <row r="11" spans="1:10" ht="15" customHeight="1" x14ac:dyDescent="0.25">
      <c r="B11" s="24" t="s">
        <v>14</v>
      </c>
      <c r="C11" s="24"/>
      <c r="D11" s="24"/>
      <c r="E11" s="24"/>
      <c r="F11" s="24"/>
      <c r="G11" s="38"/>
      <c r="H11" s="38"/>
      <c r="I11" s="39"/>
    </row>
    <row r="12" spans="1:10" ht="15" customHeight="1" x14ac:dyDescent="0.2">
      <c r="B12" s="24" t="s">
        <v>15</v>
      </c>
      <c r="C12" s="58"/>
      <c r="D12" s="59"/>
      <c r="E12" s="2"/>
      <c r="F12" s="2"/>
    </row>
    <row r="13" spans="1:10" ht="15" customHeight="1" x14ac:dyDescent="0.2">
      <c r="B13" s="25" t="s">
        <v>16</v>
      </c>
      <c r="C13" s="2"/>
      <c r="D13" s="2"/>
      <c r="E13" s="2"/>
      <c r="F13" s="2"/>
    </row>
    <row r="14" spans="1:10" ht="15.75" x14ac:dyDescent="0.2">
      <c r="B14" s="26" t="s">
        <v>17</v>
      </c>
      <c r="C14" s="21"/>
      <c r="D14" s="12"/>
      <c r="E14" s="3"/>
      <c r="F14" s="3"/>
    </row>
    <row r="15" spans="1:10" ht="15.75" x14ac:dyDescent="0.2">
      <c r="B15" s="26" t="s">
        <v>18</v>
      </c>
      <c r="C15" s="22"/>
      <c r="D15" s="12"/>
      <c r="E15" s="3"/>
      <c r="F15" s="3"/>
    </row>
    <row r="16" spans="1:10" ht="45" customHeight="1" x14ac:dyDescent="0.2">
      <c r="B16" s="60" t="s">
        <v>19</v>
      </c>
      <c r="C16" s="60"/>
      <c r="D16" s="61"/>
      <c r="E16" s="61"/>
      <c r="F16" s="61"/>
      <c r="G16" s="61"/>
      <c r="H16" s="61"/>
      <c r="I16" s="61"/>
    </row>
    <row r="17" spans="2:9" ht="24.95" customHeight="1" x14ac:dyDescent="0.2">
      <c r="B17" s="46" t="s">
        <v>20</v>
      </c>
      <c r="C17" s="47"/>
      <c r="D17" s="27" t="s">
        <v>21</v>
      </c>
      <c r="E17" s="48"/>
      <c r="F17" s="48"/>
      <c r="G17" s="48"/>
      <c r="H17" s="48"/>
      <c r="I17" s="47"/>
    </row>
    <row r="18" spans="2:9" ht="35.25" customHeight="1" x14ac:dyDescent="0.2">
      <c r="B18" s="49"/>
      <c r="C18" s="50"/>
      <c r="D18" s="28"/>
      <c r="E18" s="51"/>
      <c r="F18" s="51"/>
      <c r="G18" s="51"/>
      <c r="H18" s="51"/>
      <c r="I18" s="50"/>
    </row>
    <row r="19" spans="2:9" ht="13.5" customHeight="1" x14ac:dyDescent="0.2"/>
    <row r="20" spans="2:9" ht="30" customHeight="1" x14ac:dyDescent="0.2">
      <c r="B20" s="29" t="s">
        <v>22</v>
      </c>
      <c r="C20" s="29" t="s">
        <v>23</v>
      </c>
      <c r="D20" s="30" t="s">
        <v>24</v>
      </c>
      <c r="E20" s="66" t="s">
        <v>36</v>
      </c>
      <c r="F20" s="66" t="s">
        <v>37</v>
      </c>
      <c r="G20" s="30" t="s">
        <v>26</v>
      </c>
      <c r="H20" s="31" t="s">
        <v>25</v>
      </c>
      <c r="I20" s="32" t="s">
        <v>27</v>
      </c>
    </row>
    <row r="21" spans="2:9" ht="277.5" customHeight="1" x14ac:dyDescent="0.2">
      <c r="B21" s="16">
        <v>1</v>
      </c>
      <c r="C21" s="42" t="s">
        <v>28</v>
      </c>
      <c r="E21" s="67"/>
      <c r="F21" s="67"/>
      <c r="G21" s="17"/>
      <c r="H21" s="15">
        <v>2</v>
      </c>
      <c r="I21" s="17" t="str">
        <f>IFERROR(IF(#REF!,#REF!*G21,""), "")</f>
        <v/>
      </c>
    </row>
    <row r="22" spans="2:9" ht="258.75" customHeight="1" x14ac:dyDescent="0.2">
      <c r="B22" s="16">
        <v>2</v>
      </c>
      <c r="C22" s="42" t="s">
        <v>29</v>
      </c>
      <c r="E22" s="67"/>
      <c r="F22" s="67"/>
      <c r="G22" s="17"/>
      <c r="H22" s="15">
        <v>2</v>
      </c>
      <c r="I22" s="17" t="str">
        <f>IFERROR(IF(#REF!,#REF!*G22,""), "")</f>
        <v/>
      </c>
    </row>
    <row r="23" spans="2:9" ht="30" customHeight="1" x14ac:dyDescent="0.2">
      <c r="B23" s="5"/>
      <c r="E23" s="4"/>
      <c r="F23" s="4"/>
      <c r="G23" s="33" t="s">
        <v>30</v>
      </c>
      <c r="H23" s="33"/>
      <c r="I23" s="18">
        <f>SUM(Quotation3423[AMOUNT])</f>
        <v>0</v>
      </c>
    </row>
    <row r="24" spans="2:9" ht="30" customHeight="1" x14ac:dyDescent="0.2">
      <c r="B24" s="5"/>
      <c r="E24" s="4"/>
      <c r="F24" s="4"/>
      <c r="G24" s="34" t="s">
        <v>31</v>
      </c>
      <c r="H24" s="34"/>
      <c r="I24" s="19">
        <v>0</v>
      </c>
    </row>
    <row r="25" spans="2:9" ht="30" customHeight="1" x14ac:dyDescent="0.2">
      <c r="B25" s="5"/>
      <c r="E25" s="4"/>
      <c r="F25" s="4"/>
      <c r="G25" s="34" t="s">
        <v>32</v>
      </c>
      <c r="H25" s="34"/>
      <c r="I25" s="40">
        <f>(I24+Quotation3423[[#Totals],[AMOUNT]])*5/100</f>
        <v>0</v>
      </c>
    </row>
    <row r="26" spans="2:9" ht="30" customHeight="1" x14ac:dyDescent="0.2">
      <c r="B26" s="5"/>
      <c r="E26" s="4"/>
      <c r="F26" s="4"/>
      <c r="I26" s="19">
        <v>0</v>
      </c>
    </row>
    <row r="27" spans="2:9" ht="30" customHeight="1" x14ac:dyDescent="0.2">
      <c r="B27" s="6"/>
      <c r="C27" s="7"/>
      <c r="D27" s="14"/>
      <c r="E27" s="13"/>
      <c r="F27" s="13"/>
      <c r="G27" s="35" t="s">
        <v>33</v>
      </c>
      <c r="H27" s="35"/>
      <c r="I27" s="20">
        <f>Quotation3423[[#Totals],[AMOUNT]]+I25+I26+I24</f>
        <v>0</v>
      </c>
    </row>
    <row r="28" spans="2:9" ht="7.5" customHeight="1" x14ac:dyDescent="0.2">
      <c r="E28" s="4"/>
      <c r="F28" s="4"/>
      <c r="G28" s="34"/>
      <c r="H28" s="34"/>
      <c r="I28" s="41"/>
    </row>
    <row r="29" spans="2:9" ht="165" customHeight="1" x14ac:dyDescent="0.2">
      <c r="B29" s="53" t="s">
        <v>34</v>
      </c>
      <c r="C29" s="54"/>
      <c r="D29" s="54"/>
      <c r="E29" s="54"/>
      <c r="F29" s="54"/>
      <c r="G29" s="54"/>
      <c r="H29" s="54"/>
      <c r="I29" s="55"/>
    </row>
    <row r="30" spans="2:9" ht="409.5" customHeight="1" x14ac:dyDescent="0.2">
      <c r="B30" s="52" t="s">
        <v>35</v>
      </c>
      <c r="C30" s="52"/>
      <c r="D30" s="52"/>
      <c r="E30" s="52"/>
      <c r="F30" s="52"/>
      <c r="G30" s="52"/>
      <c r="H30" s="52"/>
      <c r="I30" s="52"/>
    </row>
  </sheetData>
  <dataConsolidate/>
  <mergeCells count="23">
    <mergeCell ref="B7:D7"/>
    <mergeCell ref="I2:J2"/>
    <mergeCell ref="B4:D4"/>
    <mergeCell ref="B5:D5"/>
    <mergeCell ref="B6:D6"/>
    <mergeCell ref="G4:J4"/>
    <mergeCell ref="H5:I5"/>
    <mergeCell ref="H6:I6"/>
    <mergeCell ref="H7:I7"/>
    <mergeCell ref="B8:D8"/>
    <mergeCell ref="C9:D9"/>
    <mergeCell ref="C12:D12"/>
    <mergeCell ref="B16:C16"/>
    <mergeCell ref="D16:I16"/>
    <mergeCell ref="H8:I8"/>
    <mergeCell ref="H9:I9"/>
    <mergeCell ref="H10:I10"/>
    <mergeCell ref="B17:C17"/>
    <mergeCell ref="E17:I17"/>
    <mergeCell ref="B18:C18"/>
    <mergeCell ref="E18:I18"/>
    <mergeCell ref="B30:I30"/>
    <mergeCell ref="B29:I29"/>
  </mergeCells>
  <dataValidations count="41">
    <dataValidation allowBlank="1" showInputMessage="1" showErrorMessage="1" prompt="Enter company City, State, and Zip Code in this cell" sqref="B7 E7:F7" xr:uid="{EC92007C-A098-4243-BAC2-14F5FE58CAE2}"/>
    <dataValidation allowBlank="1" showInputMessage="1" showErrorMessage="1" prompt="Enter company Phone and Fax numbers in this cell" sqref="B8:D8" xr:uid="{6223A636-323A-40A0-B681-6D2B7212440F}"/>
    <dataValidation allowBlank="1" showInputMessage="1" showErrorMessage="1" prompt="Enter customer Name, Company Name, Street Address, and Phone number in cells below, from cell B8 through B12, Quotation end date in cell G7 and Prepared by name in cell G8" sqref="B9" xr:uid="{DA16408E-64A3-44B4-8D5B-D14ACA28D303}"/>
    <dataValidation allowBlank="1" showInputMessage="1" showErrorMessage="1" prompt="Enter customer Name in this cell" sqref="C9 C11 B10:F10" xr:uid="{DB35C771-B498-4EB1-A255-21943F3448B4}"/>
    <dataValidation allowBlank="1" showInputMessage="1" showErrorMessage="1" prompt="Enter customer Company Name in this cell" sqref="B11 E11:F11" xr:uid="{A3A8A745-DC3C-4DDE-BC7D-8EF8D88F7DFF}"/>
    <dataValidation allowBlank="1" showInputMessage="1" showErrorMessage="1" prompt="Enter customer Street Address in this cell" sqref="B12:C12 E12:F12" xr:uid="{1A90CDD1-83AC-4164-A311-199F0EF369F5}"/>
    <dataValidation allowBlank="1" showInputMessage="1" showErrorMessage="1" prompt="Enter customer Phone number in this cell" sqref="B14:B15 C15 D14:F15" xr:uid="{7C337DB6-DF98-4B8E-84E4-14F38B1A84D6}"/>
    <dataValidation allowBlank="1" showInputMessage="1" showErrorMessage="1" prompt="Enter Comments or Special Instructions in cell at right" sqref="B16:C16" xr:uid="{12DD2E94-1BF0-47D1-ACBF-BE44BD700E7F}"/>
    <dataValidation allowBlank="1" showInputMessage="1" showErrorMessage="1" prompt="Enter shipping details in cells B14 through G15, and product details in table starting in cell B17. Enter Salesperson name in cell below" sqref="B17" xr:uid="{22287D45-6350-4E81-B3B6-D6EE567E52F3}"/>
    <dataValidation allowBlank="1" showInputMessage="1" showErrorMessage="1" prompt="Enter Shipping Date in cell below" sqref="D17" xr:uid="{CED769C3-C246-410D-B57C-89135CAE8E3D}"/>
    <dataValidation allowBlank="1" showInputMessage="1" showErrorMessage="1" prompt="Enter Shipping Date in this cell" sqref="D18" xr:uid="{BD108CCD-DDD3-4AAE-BD3A-AD52DB3B656C}"/>
    <dataValidation allowBlank="1" showInputMessage="1" showErrorMessage="1" prompt="Create a Price quote with tax calculation in this worksheet. Enter company, customer, quotation, shipping, and product details. Total due is automatically calculated" sqref="A4" xr:uid="{9294FFC1-121E-4D29-BEE6-4CD12C5974DF}"/>
    <dataValidation allowBlank="1" showInputMessage="1" showErrorMessage="1" prompt="Total due is automatically calculated in cell at right" sqref="G27:H28" xr:uid="{85EEAC68-C4C0-48F9-90D8-696E99386487}"/>
    <dataValidation allowBlank="1" showInputMessage="1" showErrorMessage="1" prompt="Total due is automatically calculated in this cell" sqref="I27:I28" xr:uid="{5458E438-179D-40F4-8BB1-82871FF1A53E}"/>
    <dataValidation allowBlank="1" showInputMessage="1" showErrorMessage="1" prompt="Enter Other amount in this cell" sqref="I25:I26" xr:uid="{F1854982-DF3E-42A1-A3C1-8E3462918467}"/>
    <dataValidation allowBlank="1" showInputMessage="1" showErrorMessage="1" prompt="Sales Tax amount is automatically calculated in this cell" sqref="I24" xr:uid="{85F7F036-1745-4812-B625-5CE55CE5FA53}"/>
    <dataValidation allowBlank="1" showInputMessage="1" showErrorMessage="1" prompt="Enter Prepared by name in this cell" sqref="I11" xr:uid="{918A298D-4020-4A57-B486-C2813652D44D}"/>
    <dataValidation allowBlank="1" showInputMessage="1" showErrorMessage="1" prompt="Enter Quotation end date in this cell" sqref="H9" xr:uid="{6B54EC96-054A-4EE5-B9F8-83988795A86D}"/>
    <dataValidation allowBlank="1" showInputMessage="1" showErrorMessage="1" prompt="Enter quotation Date in this cell" sqref="H5" xr:uid="{ADAE87DA-18BD-4284-81B7-3F2CE03C7E2A}"/>
    <dataValidation allowBlank="1" showInputMessage="1" showErrorMessage="1" prompt="Enter Customer ID in cell at right" sqref="G7" xr:uid="{9D7ED8B7-E9DE-41B8-AEAD-A78057877A3A}"/>
    <dataValidation allowBlank="1" showInputMessage="1" showErrorMessage="1" prompt="Enter quotation Date in cell at right" sqref="G5" xr:uid="{37B9BA49-9D90-4D55-80F4-5C8BB917105C}"/>
    <dataValidation allowBlank="1" showInputMessage="1" showErrorMessage="1" prompt="Enter Quotation number in cell at right" sqref="G6" xr:uid="{CE10F065-A049-4697-AECF-B4DA98B6A4D1}"/>
    <dataValidation allowBlank="1" showInputMessage="1" showErrorMessage="1" prompt="Enter Customer ID in this cell" sqref="H7" xr:uid="{EBEAA31D-2609-4264-91BF-EBB5A5C69965}"/>
    <dataValidation allowBlank="1" showInputMessage="1" showErrorMessage="1" prompt="Title of this worksheet is in this cell. Enter Date, Quotation Number, and Customer ID in cells G2 through G5" sqref="I2:J2 G4" xr:uid="{32B1195C-630B-46F5-BF6F-E7B11922D493}"/>
    <dataValidation allowBlank="1" showInputMessage="1" showErrorMessage="1" prompt="Enter Prepared by name in cell at right" sqref="G10" xr:uid="{743FE3BD-176F-43D1-BED5-2DCB628D8F5B}"/>
    <dataValidation allowBlank="1" showInputMessage="1" showErrorMessage="1" prompt="Enter Quotation end date in cell at right" sqref="G9" xr:uid="{67B8B1C5-282F-4332-B483-468C5D7DB08E}"/>
    <dataValidation type="list" allowBlank="1" showInputMessage="1" showErrorMessage="1" prompt="Enter Prepared by name in this cell" sqref="H10" xr:uid="{6549EB61-D02B-4C8D-8B7D-1D54C33B4BF8}">
      <formula1>"MUHSINA YOUSUF,MAHINDA,MUAMMAR KHAN,ARTTY TRANGIA,MUHAMMED FAIZAAN,ABDUL RAAZ,VISMAYA M P,JIPSA ABRAHAM"</formula1>
    </dataValidation>
    <dataValidation type="list" allowBlank="1" showInputMessage="1" showErrorMessage="1" prompt="Enter Salesperson name in this cell" sqref="B18:C18" xr:uid="{B9179D75-CEDE-411D-998C-87C6F4D0B499}">
      <formula1>"MUHAMMED FAIZAAN,MAHINDA,ARTTY TRANGIA,MUAMMAR KHAN,ABDUL RAAZ,NUMEER,MUHSINA YOUSUF,JIPSA ABRAHAM"</formula1>
    </dataValidation>
    <dataValidation allowBlank="1" showInputMessage="1" showErrorMessage="1" prompt="Enter Description in this column under this heading" sqref="B20:B22" xr:uid="{F513B651-E2EC-4CE2-A470-50B990F1F808}"/>
    <dataValidation allowBlank="1" showInputMessage="1" showErrorMessage="1" prompt="Enter Quantity in this column under this heading" sqref="H20:H22 E20:F22" xr:uid="{611BD0C8-7C1D-475D-B1B7-179807A16E05}"/>
    <dataValidation allowBlank="1" showInputMessage="1" showErrorMessage="1" prompt="Enter Unit Price in this column under this heading" sqref="G20:G22" xr:uid="{51F9BEAF-3CF4-4C93-BE3E-E9BEDFE824F9}"/>
    <dataValidation allowBlank="1" showInputMessage="1" showErrorMessage="1" prompt="Amount is automatically calculated in this column under this heading and Subtotal is automatically calculated at the end of the table" sqref="I20:I22" xr:uid="{94558C84-C33E-4ECB-BD34-85BE3DFDF508}"/>
    <dataValidation allowBlank="1" showInputMessage="1" showErrorMessage="1" prompt="Enter Other amount in cell at right" sqref="G24:H25" xr:uid="{FC99912F-591D-4CF2-A80B-E6D1739CDE94}"/>
    <dataValidation allowBlank="1" showInputMessage="1" showErrorMessage="1" prompt="Enter Company Name in this cell and slogan in cell below. Quotation title is in cell at right" sqref="B4:F4" xr:uid="{A42AFDAD-8EEC-49A6-AFD2-C33D21C7D123}"/>
    <dataValidation allowBlank="1" showInputMessage="1" showErrorMessage="1" prompt="Enter Company Slogan in this cell and company address in cells below, from cell B4 through B6" sqref="B5:F5" xr:uid="{7E9014CC-995A-4140-A190-9583216F32CE}"/>
    <dataValidation allowBlank="1" showInputMessage="1" showErrorMessage="1" prompt="Enter company Street Address in this cell" sqref="B6:F6" xr:uid="{49DEBAAF-3CEF-4CB4-B78C-47DBA0F5EE22}"/>
    <dataValidation allowBlank="1" showInputMessage="1" showErrorMessage="1" prompt="Enter customer City, State, and Zip Code in this cell" sqref="B13:F13" xr:uid="{5061F2F6-D9E2-4EF5-877F-1AD61F97B3A2}"/>
    <dataValidation allowBlank="1" showInputMessage="1" showErrorMessage="1" prompt="Enter Comments or Special Instructions in this cell" sqref="D16:I16" xr:uid="{A05EE042-8D11-4289-87CE-CD34C0584954}"/>
    <dataValidation allowBlank="1" showInputMessage="1" showErrorMessage="1" prompt="Enter quotation Terms in cell below" sqref="E17:F17" xr:uid="{4B0E7B09-475D-45BC-9089-E5F688D0A038}"/>
    <dataValidation allowBlank="1" showInputMessage="1" showErrorMessage="1" prompt="Enter quotation Terms in this cell" sqref="E18:F18" xr:uid="{26971ADC-E4F8-4AA9-8D67-A1BB7CAAD290}"/>
    <dataValidation allowBlank="1" showInputMessage="1" showErrorMessage="1" prompt="Append company Contact Name, Phone Number, and Email address in this cell" sqref="B30:I30" xr:uid="{755F99E2-476E-49CC-B82E-AC2E39B6581D}"/>
  </dataValidations>
  <printOptions horizontalCentered="1"/>
  <pageMargins left="0.51181102362204722" right="0.51181102362204722" top="0.51181102362204722" bottom="0.51181102362204722" header="0.51181102362204722" footer="0.51181102362204722"/>
  <pageSetup scale="49" fitToHeight="0" orientation="portrait" r:id="rId1"/>
  <headerFooter differentFirst="1">
    <oddFooter>&amp;L&amp;D_&amp;T_&amp;P/&amp;N</oddFooter>
    <firstFooter>&amp;L&amp;D_&amp;T_&amp;P/&amp;N</firstFoot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7C173996991E74A900BB961219916B3" ma:contentTypeVersion="16" ma:contentTypeDescription="Create a new document." ma:contentTypeScope="" ma:versionID="0291a8d0838a86a397c30561517155e2">
  <xsd:schema xmlns:xsd="http://www.w3.org/2001/XMLSchema" xmlns:xs="http://www.w3.org/2001/XMLSchema" xmlns:p="http://schemas.microsoft.com/office/2006/metadata/properties" xmlns:ns2="d10b89cd-692e-4ed5-9e52-c4d9f2263592" xmlns:ns3="8797711d-9765-4965-af59-f58e93838fe5" targetNamespace="http://schemas.microsoft.com/office/2006/metadata/properties" ma:root="true" ma:fieldsID="c00ff91ee6702fd39d5f1db614b213ba" ns2:_="" ns3:_="">
    <xsd:import namespace="d10b89cd-692e-4ed5-9e52-c4d9f2263592"/>
    <xsd:import namespace="8797711d-9765-4965-af59-f58e93838fe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element ref="ns2:designconsulta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0b89cd-692e-4ed5-9e52-c4d9f226359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bb733a28-db54-41b8-aca9-038e7d4a94c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designconsultant" ma:index="20" nillable="true" ma:displayName="design consultant" ma:format="Dropdown" ma:list="UserInfo" ma:SharePointGroup="0" ma:internalName="designconsultant">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797711d-9765-4965-af59-f58e93838fe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58f1fd4-f2b4-44cb-b863-b976322e7db3}" ma:internalName="TaxCatchAll" ma:showField="CatchAllData" ma:web="8797711d-9765-4965-af59-f58e93838fe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8797711d-9765-4965-af59-f58e93838fe5" xsi:nil="true"/>
    <lcf76f155ced4ddcb4097134ff3c332f xmlns="d10b89cd-692e-4ed5-9e52-c4d9f2263592">
      <Terms xmlns="http://schemas.microsoft.com/office/infopath/2007/PartnerControls"/>
    </lcf76f155ced4ddcb4097134ff3c332f>
    <designconsultant xmlns="d10b89cd-692e-4ed5-9e52-c4d9f2263592">
      <UserInfo>
        <DisplayName/>
        <AccountId xsi:nil="true"/>
        <AccountType/>
      </UserInfo>
    </designconsultant>
  </documentManagement>
</p:properties>
</file>

<file path=customXml/itemProps1.xml><?xml version="1.0" encoding="utf-8"?>
<ds:datastoreItem xmlns:ds="http://schemas.openxmlformats.org/officeDocument/2006/customXml" ds:itemID="{1B05D166-A9C8-41E6-81AD-4D6976F97D45}">
  <ds:schemaRefs>
    <ds:schemaRef ds:uri="http://schemas.microsoft.com/sharepoint/v3/contenttype/forms"/>
  </ds:schemaRefs>
</ds:datastoreItem>
</file>

<file path=customXml/itemProps2.xml><?xml version="1.0" encoding="utf-8"?>
<ds:datastoreItem xmlns:ds="http://schemas.openxmlformats.org/officeDocument/2006/customXml" ds:itemID="{ED76E882-BC4F-4C51-B54F-51DCC54CA0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10b89cd-692e-4ed5-9e52-c4d9f2263592"/>
    <ds:schemaRef ds:uri="8797711d-9765-4965-af59-f58e93838f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3090807-143D-4187-B515-3D9228FE0397}">
  <ds:schemaRefs>
    <ds:schemaRef ds:uri="http://schemas.microsoft.com/office/2006/metadata/properties"/>
    <ds:schemaRef ds:uri="http://schemas.microsoft.com/office/infopath/2007/PartnerControls"/>
    <ds:schemaRef ds:uri="8797711d-9765-4965-af59-f58e93838fe5"/>
    <ds:schemaRef ds:uri="d10b89cd-692e-4ed5-9e52-c4d9f226359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8</vt:i4>
      </vt:variant>
    </vt:vector>
  </HeadingPairs>
  <TitlesOfParts>
    <vt:vector size="9" baseType="lpstr">
      <vt:lpstr>BOQ</vt:lpstr>
      <vt:lpstr>BOQ!ColumnTitle1</vt:lpstr>
      <vt:lpstr>BOQ!ColumnTitleRegion1..B11.1</vt:lpstr>
      <vt:lpstr>BOQ!ColumnTitleRegion2..G14.1</vt:lpstr>
      <vt:lpstr>BOQ!Print_Area</vt:lpstr>
      <vt:lpstr>BOQ!Print_Titles</vt:lpstr>
      <vt:lpstr>BOQ!RowTitleRegion1..G4</vt:lpstr>
      <vt:lpstr>BOQ!RowTitleRegion2..G7</vt:lpstr>
      <vt:lpstr>BOQ!RowTitleRegion3..D12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Colton Cauthen</dc:creator>
  <cp:keywords/>
  <dc:description/>
  <cp:lastModifiedBy>Office</cp:lastModifiedBy>
  <cp:revision/>
  <dcterms:created xsi:type="dcterms:W3CDTF">2017-08-09T17:37:02Z</dcterms:created>
  <dcterms:modified xsi:type="dcterms:W3CDTF">2026-05-25T07:06:14Z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0x01010047C173996991E74A900BB961219916B3</vt:lpwstr>
  </property>
  <property fmtid="{D5CDD505-2E9C-101B-9397-08002B2CF9AE}" pid="3" name="MediaServiceImageTags">
    <vt:lpwstr/>
  </property>
</Properties>
</file>